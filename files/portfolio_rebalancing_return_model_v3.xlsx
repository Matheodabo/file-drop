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svinder/Desktop/FileShare/files/"/>
    </mc:Choice>
  </mc:AlternateContent>
  <xr:revisionPtr revIDLastSave="0" documentId="8_{D0B7A0E6-7DA2-D444-B791-91A162811577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Portfolio Model" sheetId="1" r:id="rId1"/>
    <sheet name="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J12" i="1"/>
  <c r="Z11" i="1"/>
  <c r="X11" i="1"/>
  <c r="V11" i="1"/>
  <c r="T11" i="1"/>
  <c r="L11" i="1"/>
  <c r="J11" i="1"/>
  <c r="Z10" i="1"/>
  <c r="X10" i="1"/>
  <c r="V10" i="1"/>
  <c r="T10" i="1"/>
  <c r="L10" i="1"/>
  <c r="J10" i="1"/>
  <c r="Z9" i="1"/>
  <c r="X9" i="1"/>
  <c r="T9" i="1"/>
  <c r="Q9" i="1"/>
  <c r="L9" i="1"/>
  <c r="J9" i="1"/>
  <c r="Z8" i="1"/>
  <c r="X8" i="1"/>
  <c r="T8" i="1"/>
  <c r="L8" i="1"/>
  <c r="J8" i="1"/>
  <c r="Z7" i="1"/>
  <c r="T7" i="1"/>
  <c r="L7" i="1"/>
  <c r="J7" i="1"/>
  <c r="Z6" i="1"/>
  <c r="T6" i="1"/>
  <c r="Q6" i="1"/>
  <c r="L6" i="1"/>
  <c r="J6" i="1"/>
  <c r="T5" i="1"/>
  <c r="Q5" i="1"/>
  <c r="L5" i="1"/>
  <c r="J5" i="1"/>
  <c r="T4" i="1"/>
  <c r="Q4" i="1"/>
  <c r="L4" i="1"/>
  <c r="J4" i="1"/>
  <c r="T3" i="1"/>
  <c r="Q3" i="1"/>
  <c r="L3" i="1"/>
  <c r="K3" i="1"/>
  <c r="J3" i="1"/>
  <c r="T2" i="1"/>
  <c r="M3" i="1" l="1"/>
  <c r="N3" i="1" s="1"/>
  <c r="K4" i="1" s="1"/>
  <c r="M4" i="1" l="1"/>
  <c r="N4" i="1" s="1"/>
  <c r="K5" i="1" s="1"/>
  <c r="M5" i="1" l="1"/>
  <c r="N5" i="1" s="1"/>
  <c r="K6" i="1" s="1"/>
  <c r="M6" i="1" l="1"/>
  <c r="N6" i="1" s="1"/>
  <c r="K7" i="1" s="1"/>
  <c r="M7" i="1" l="1"/>
  <c r="N7" i="1" s="1"/>
  <c r="K8" i="1" s="1"/>
  <c r="M8" i="1" l="1"/>
  <c r="N8" i="1" s="1"/>
  <c r="K9" i="1" s="1"/>
  <c r="M9" i="1" l="1"/>
  <c r="N9" i="1" s="1"/>
  <c r="K10" i="1" s="1"/>
  <c r="M10" i="1" l="1"/>
  <c r="N10" i="1" s="1"/>
  <c r="K11" i="1" s="1"/>
  <c r="M11" i="1" l="1"/>
  <c r="N11" i="1" s="1"/>
  <c r="K12" i="1" s="1"/>
  <c r="M12" i="1" l="1"/>
  <c r="N12" i="1" s="1"/>
  <c r="Z12" i="1" l="1"/>
  <c r="AA2" i="1" s="1"/>
  <c r="Q16" i="1" s="1"/>
  <c r="Q8" i="1"/>
  <c r="Q10" i="1" s="1"/>
  <c r="X12" i="1"/>
  <c r="Y2" i="1" s="1"/>
  <c r="Q15" i="1" s="1"/>
  <c r="V12" i="1"/>
  <c r="W2" i="1" s="1"/>
  <c r="Q14" i="1" s="1"/>
  <c r="T12" i="1"/>
  <c r="U2" i="1" s="1"/>
  <c r="Q13" i="1" s="1"/>
</calcChain>
</file>

<file path=xl/sharedStrings.xml><?xml version="1.0" encoding="utf-8"?>
<sst xmlns="http://schemas.openxmlformats.org/spreadsheetml/2006/main" count="43" uniqueCount="43">
  <si>
    <t>Year</t>
  </si>
  <si>
    <t>Date</t>
  </si>
  <si>
    <t>Contribution</t>
  </si>
  <si>
    <t>VTI Alloc</t>
  </si>
  <si>
    <t>VTI Return</t>
  </si>
  <si>
    <t>EFA Alloc</t>
  </si>
  <si>
    <t>EFA Return</t>
  </si>
  <si>
    <t>AGG Alloc</t>
  </si>
  <si>
    <t>AGG Return</t>
  </si>
  <si>
    <t>Weighted Portfolio Return</t>
  </si>
  <si>
    <t>Beginning Balance</t>
  </si>
  <si>
    <t>Contribution Added</t>
  </si>
  <si>
    <t>Growth</t>
  </si>
  <si>
    <t>Ending Balance</t>
  </si>
  <si>
    <t>10/31/2016</t>
  </si>
  <si>
    <t>Performance Summary</t>
  </si>
  <si>
    <t>10/31/2017</t>
  </si>
  <si>
    <t>YTD Return</t>
  </si>
  <si>
    <t>10/31/2018</t>
  </si>
  <si>
    <t>3 Year Annualized</t>
  </si>
  <si>
    <t>10/31/2019</t>
  </si>
  <si>
    <t>5 Year Annualized</t>
  </si>
  <si>
    <t>10/30/2020</t>
  </si>
  <si>
    <t>7 Year Annualized</t>
  </si>
  <si>
    <t>10/30/2021</t>
  </si>
  <si>
    <t>10/30/2022</t>
  </si>
  <si>
    <t>Current Ending Balance</t>
  </si>
  <si>
    <t>10/30/2023</t>
  </si>
  <si>
    <t>Total Contributions</t>
  </si>
  <si>
    <t>10/29/2024</t>
  </si>
  <si>
    <t>Net Investment Gain</t>
  </si>
  <si>
    <t>10/29/2025</t>
  </si>
  <si>
    <t>4/23/2026</t>
  </si>
  <si>
    <t>Investor Experience (MWR / IRR)</t>
  </si>
  <si>
    <t>Since Inception IRR</t>
  </si>
  <si>
    <t>3 Year IRR</t>
  </si>
  <si>
    <t>5 Year IRR</t>
  </si>
  <si>
    <t>7 Year IRR</t>
  </si>
  <si>
    <t>Notes</t>
  </si>
  <si>
    <t>Model assumes annual rebalance to shown target allocations immediately after each annual contribution.</t>
  </si>
  <si>
    <t>Annual portfolio return = weighted sum of ETF returns using that year's target allocation.</t>
  </si>
  <si>
    <t>Ending Balance = (Beginning Balance + Contribution) * (1 + Weighted Return).</t>
  </si>
  <si>
    <t>All contribution amounts and allocations are fully editable.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</si>
</sst>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tabSelected="1" topLeftCell="E1" workbookViewId="0"/>
  </sheetViews>
  <sheetFormatPr baseColWidth="10" defaultColWidth="8.83203125" defaultRowHeight="15" x14ac:dyDescent="0.2"/>
  <cols>
    <col min="1" max="14" width="18" customWidth="1"/>
    <col min="16" max="16" width="22" customWidth="1"/>
    <col min="17" max="17" width="18" customWidth="1"/>
    <col min="20" max="27" width="13" hidden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7" x14ac:dyDescent="0.2">
      <c r="A2">
        <v>0</v>
      </c>
      <c r="B2" t="s">
        <v>14</v>
      </c>
      <c r="C2">
        <v>100000</v>
      </c>
      <c r="D2">
        <v>0.56999999999999995</v>
      </c>
      <c r="F2">
        <v>0.38</v>
      </c>
      <c r="H2">
        <v>0.05</v>
      </c>
      <c r="K2">
        <v>0</v>
      </c>
      <c r="L2">
        <v>100000</v>
      </c>
      <c r="M2">
        <v>0</v>
      </c>
      <c r="N2">
        <v>100000</v>
      </c>
      <c r="P2" s="2" t="s">
        <v>15</v>
      </c>
      <c r="Q2" s="3"/>
      <c r="T2">
        <f t="shared" ref="T2:T11" si="0">-C2</f>
        <v>-100000</v>
      </c>
      <c r="U2">
        <f>IRR(T2:T12)</f>
        <v>0.10292708748818447</v>
      </c>
      <c r="W2">
        <f>IRR(V10:V12)</f>
        <v>3.0047469657838191</v>
      </c>
      <c r="Y2">
        <f>IRR(X8:X12)</f>
        <v>1.0932136665307342</v>
      </c>
      <c r="AA2">
        <f>IRR(Z6:Z12)</f>
        <v>0.56160455851139868</v>
      </c>
    </row>
    <row r="3" spans="1:27" x14ac:dyDescent="0.2">
      <c r="A3">
        <v>1</v>
      </c>
      <c r="B3" t="s">
        <v>16</v>
      </c>
      <c r="C3">
        <v>11000</v>
      </c>
      <c r="D3">
        <v>0.56999999999999995</v>
      </c>
      <c r="E3">
        <v>0.24</v>
      </c>
      <c r="F3">
        <v>0.38</v>
      </c>
      <c r="G3">
        <v>0.24</v>
      </c>
      <c r="H3">
        <v>0.05</v>
      </c>
      <c r="I3">
        <v>0.01</v>
      </c>
      <c r="J3">
        <f t="shared" ref="J3:J12" si="1">D3*E3+F3*G3+H3*I3</f>
        <v>0.22849999999999998</v>
      </c>
      <c r="K3">
        <f t="shared" ref="K3:K12" si="2">N2</f>
        <v>100000</v>
      </c>
      <c r="L3">
        <f t="shared" ref="L3:L12" si="3">C3</f>
        <v>11000</v>
      </c>
      <c r="M3">
        <f t="shared" ref="M3:M12" si="4">(K3+L3)*J3</f>
        <v>25363.499999999996</v>
      </c>
      <c r="N3">
        <f t="shared" ref="N3:N12" si="5">K3+L3+M3</f>
        <v>136363.5</v>
      </c>
      <c r="P3" s="2" t="s">
        <v>17</v>
      </c>
      <c r="Q3" s="3">
        <f>(1+J12)-1</f>
        <v>3.71999999999999E-2</v>
      </c>
      <c r="T3">
        <f t="shared" si="0"/>
        <v>-11000</v>
      </c>
    </row>
    <row r="4" spans="1:27" x14ac:dyDescent="0.2">
      <c r="A4">
        <v>2</v>
      </c>
      <c r="B4" t="s">
        <v>18</v>
      </c>
      <c r="C4">
        <v>11000</v>
      </c>
      <c r="D4">
        <v>0.56999999999999995</v>
      </c>
      <c r="E4">
        <v>7.0000000000000007E-2</v>
      </c>
      <c r="F4">
        <v>0.38</v>
      </c>
      <c r="G4">
        <v>-0.08</v>
      </c>
      <c r="H4">
        <v>0.05</v>
      </c>
      <c r="I4">
        <v>-0.02</v>
      </c>
      <c r="J4">
        <f t="shared" si="1"/>
        <v>8.4999999999999971E-3</v>
      </c>
      <c r="K4">
        <f t="shared" si="2"/>
        <v>136363.5</v>
      </c>
      <c r="L4">
        <f t="shared" si="3"/>
        <v>11000</v>
      </c>
      <c r="M4">
        <f t="shared" si="4"/>
        <v>1252.5897499999996</v>
      </c>
      <c r="N4">
        <f t="shared" si="5"/>
        <v>148616.08975000001</v>
      </c>
      <c r="P4" s="2" t="s">
        <v>19</v>
      </c>
      <c r="Q4" s="3" t="e">
        <f>((PRODUCT(1+J10:J12))^(1/3))-1</f>
        <v>#VALUE!</v>
      </c>
      <c r="T4">
        <f t="shared" si="0"/>
        <v>-11000</v>
      </c>
    </row>
    <row r="5" spans="1:27" x14ac:dyDescent="0.2">
      <c r="A5">
        <v>3</v>
      </c>
      <c r="B5" t="s">
        <v>20</v>
      </c>
      <c r="C5">
        <v>11000</v>
      </c>
      <c r="D5">
        <v>0.55000000000000004</v>
      </c>
      <c r="E5">
        <v>0.14000000000000001</v>
      </c>
      <c r="F5">
        <v>0.36</v>
      </c>
      <c r="G5">
        <v>0.11</v>
      </c>
      <c r="H5">
        <v>0.09</v>
      </c>
      <c r="I5">
        <v>0.11</v>
      </c>
      <c r="J5">
        <f t="shared" si="1"/>
        <v>0.1265</v>
      </c>
      <c r="K5">
        <f t="shared" si="2"/>
        <v>148616.08975000001</v>
      </c>
      <c r="L5">
        <f t="shared" si="3"/>
        <v>11000</v>
      </c>
      <c r="M5">
        <f t="shared" si="4"/>
        <v>20191.435353375004</v>
      </c>
      <c r="N5">
        <f t="shared" si="5"/>
        <v>179807.52510337502</v>
      </c>
      <c r="P5" s="2" t="s">
        <v>21</v>
      </c>
      <c r="Q5" s="3" t="e">
        <f>((PRODUCT(1+J8:J12))^(1/5))-1</f>
        <v>#VALUE!</v>
      </c>
      <c r="T5">
        <f t="shared" si="0"/>
        <v>-11000</v>
      </c>
    </row>
    <row r="6" spans="1:27" x14ac:dyDescent="0.2">
      <c r="A6">
        <v>4</v>
      </c>
      <c r="B6" t="s">
        <v>22</v>
      </c>
      <c r="C6">
        <v>11000</v>
      </c>
      <c r="D6">
        <v>0.52</v>
      </c>
      <c r="E6">
        <v>0.1</v>
      </c>
      <c r="F6">
        <v>0.35</v>
      </c>
      <c r="G6">
        <v>-7.0000000000000007E-2</v>
      </c>
      <c r="H6">
        <v>0.13</v>
      </c>
      <c r="I6">
        <v>0.06</v>
      </c>
      <c r="J6">
        <f t="shared" si="1"/>
        <v>3.5300000000000005E-2</v>
      </c>
      <c r="K6">
        <f t="shared" si="2"/>
        <v>179807.52510337502</v>
      </c>
      <c r="L6">
        <f t="shared" si="3"/>
        <v>11000</v>
      </c>
      <c r="M6">
        <f t="shared" si="4"/>
        <v>6735.5056361491397</v>
      </c>
      <c r="N6">
        <f t="shared" si="5"/>
        <v>197543.03073952417</v>
      </c>
      <c r="P6" s="2" t="s">
        <v>23</v>
      </c>
      <c r="Q6" s="3">
        <f>((PRODUCT(1+J6:J12))^(1/7))-1</f>
        <v>4.9681921403239571E-3</v>
      </c>
      <c r="T6">
        <f t="shared" si="0"/>
        <v>-11000</v>
      </c>
      <c r="Z6">
        <f t="shared" ref="Z6:Z11" si="6">-C6</f>
        <v>-11000</v>
      </c>
    </row>
    <row r="7" spans="1:27" x14ac:dyDescent="0.2">
      <c r="A7">
        <v>5</v>
      </c>
      <c r="B7" t="s">
        <v>24</v>
      </c>
      <c r="C7">
        <v>11000</v>
      </c>
      <c r="D7">
        <v>0.5</v>
      </c>
      <c r="E7">
        <v>0.44</v>
      </c>
      <c r="F7">
        <v>0.33</v>
      </c>
      <c r="G7">
        <v>0.34</v>
      </c>
      <c r="H7">
        <v>0.17</v>
      </c>
      <c r="I7">
        <v>0</v>
      </c>
      <c r="J7">
        <f t="shared" si="1"/>
        <v>0.3322</v>
      </c>
      <c r="K7">
        <f t="shared" si="2"/>
        <v>197543.03073952417</v>
      </c>
      <c r="L7">
        <f t="shared" si="3"/>
        <v>11000</v>
      </c>
      <c r="M7">
        <f t="shared" si="4"/>
        <v>69277.994811669923</v>
      </c>
      <c r="N7">
        <f t="shared" si="5"/>
        <v>277821.02555119409</v>
      </c>
      <c r="P7" s="2"/>
      <c r="Q7" s="3"/>
      <c r="T7">
        <f t="shared" si="0"/>
        <v>-11000</v>
      </c>
      <c r="Z7">
        <f t="shared" si="6"/>
        <v>-11000</v>
      </c>
    </row>
    <row r="8" spans="1:27" x14ac:dyDescent="0.2">
      <c r="A8">
        <v>6</v>
      </c>
      <c r="B8" t="s">
        <v>25</v>
      </c>
      <c r="C8">
        <v>11000</v>
      </c>
      <c r="D8">
        <v>0.46</v>
      </c>
      <c r="E8">
        <v>-0.16</v>
      </c>
      <c r="F8">
        <v>0.31</v>
      </c>
      <c r="G8">
        <v>-0.22</v>
      </c>
      <c r="H8">
        <v>0.23</v>
      </c>
      <c r="I8">
        <v>-0.15</v>
      </c>
      <c r="J8">
        <f t="shared" si="1"/>
        <v>-0.17629999999999998</v>
      </c>
      <c r="K8">
        <f t="shared" si="2"/>
        <v>277821.02555119409</v>
      </c>
      <c r="L8">
        <f t="shared" si="3"/>
        <v>11000</v>
      </c>
      <c r="M8">
        <f t="shared" si="4"/>
        <v>-50919.146804675511</v>
      </c>
      <c r="N8">
        <f t="shared" si="5"/>
        <v>237901.87874651857</v>
      </c>
      <c r="P8" s="2" t="s">
        <v>26</v>
      </c>
      <c r="Q8" s="3">
        <f>N12</f>
        <v>483983.14019257092</v>
      </c>
      <c r="T8">
        <f t="shared" si="0"/>
        <v>-11000</v>
      </c>
      <c r="X8">
        <f>-C8</f>
        <v>-11000</v>
      </c>
      <c r="Z8">
        <f t="shared" si="6"/>
        <v>-11000</v>
      </c>
    </row>
    <row r="9" spans="1:27" x14ac:dyDescent="0.2">
      <c r="A9">
        <v>7</v>
      </c>
      <c r="B9" t="s">
        <v>27</v>
      </c>
      <c r="C9">
        <v>11000</v>
      </c>
      <c r="D9">
        <v>0.43</v>
      </c>
      <c r="E9">
        <v>0.06</v>
      </c>
      <c r="F9">
        <v>0.28000000000000003</v>
      </c>
      <c r="G9">
        <v>0.12</v>
      </c>
      <c r="H9">
        <v>0.28999999999999998</v>
      </c>
      <c r="I9">
        <v>0</v>
      </c>
      <c r="J9">
        <f t="shared" si="1"/>
        <v>5.9400000000000008E-2</v>
      </c>
      <c r="K9">
        <f t="shared" si="2"/>
        <v>237901.87874651857</v>
      </c>
      <c r="L9">
        <f t="shared" si="3"/>
        <v>11000</v>
      </c>
      <c r="M9">
        <f t="shared" si="4"/>
        <v>14784.771597543206</v>
      </c>
      <c r="N9">
        <f t="shared" si="5"/>
        <v>263686.65034406178</v>
      </c>
      <c r="P9" s="2" t="s">
        <v>28</v>
      </c>
      <c r="Q9" s="3">
        <f>SUM(C2:C12)</f>
        <v>246000</v>
      </c>
      <c r="T9">
        <f t="shared" si="0"/>
        <v>-11000</v>
      </c>
      <c r="X9">
        <f>-C9</f>
        <v>-11000</v>
      </c>
      <c r="Z9">
        <f t="shared" si="6"/>
        <v>-11000</v>
      </c>
    </row>
    <row r="10" spans="1:27" x14ac:dyDescent="0.2">
      <c r="A10">
        <v>8</v>
      </c>
      <c r="B10" t="s">
        <v>29</v>
      </c>
      <c r="C10">
        <v>23000</v>
      </c>
      <c r="D10">
        <v>0.39</v>
      </c>
      <c r="E10">
        <v>0.43</v>
      </c>
      <c r="F10">
        <v>0.26</v>
      </c>
      <c r="G10">
        <v>0.25</v>
      </c>
      <c r="H10">
        <v>0.35</v>
      </c>
      <c r="I10">
        <v>0.1</v>
      </c>
      <c r="J10">
        <f t="shared" si="1"/>
        <v>0.26769999999999999</v>
      </c>
      <c r="K10">
        <f t="shared" si="2"/>
        <v>263686.65034406178</v>
      </c>
      <c r="L10">
        <f t="shared" si="3"/>
        <v>23000</v>
      </c>
      <c r="M10">
        <f t="shared" si="4"/>
        <v>76746.016297105336</v>
      </c>
      <c r="N10">
        <f t="shared" si="5"/>
        <v>363432.66664116713</v>
      </c>
      <c r="P10" s="2" t="s">
        <v>30</v>
      </c>
      <c r="Q10" s="3">
        <f>Q8-Q9</f>
        <v>237983.14019257092</v>
      </c>
      <c r="T10">
        <f t="shared" si="0"/>
        <v>-23000</v>
      </c>
      <c r="V10">
        <f>-C10</f>
        <v>-23000</v>
      </c>
      <c r="X10">
        <f>-C10</f>
        <v>-23000</v>
      </c>
      <c r="Z10">
        <f t="shared" si="6"/>
        <v>-23000</v>
      </c>
    </row>
    <row r="11" spans="1:27" x14ac:dyDescent="0.2">
      <c r="A11">
        <v>9</v>
      </c>
      <c r="B11" t="s">
        <v>31</v>
      </c>
      <c r="C11">
        <v>23000</v>
      </c>
      <c r="D11">
        <v>0.36</v>
      </c>
      <c r="E11">
        <v>0.18</v>
      </c>
      <c r="F11">
        <v>0.24</v>
      </c>
      <c r="G11">
        <v>0.23</v>
      </c>
      <c r="H11">
        <v>0.4</v>
      </c>
      <c r="I11">
        <v>7.0000000000000007E-2</v>
      </c>
      <c r="J11">
        <f t="shared" si="1"/>
        <v>0.14799999999999999</v>
      </c>
      <c r="K11">
        <f t="shared" si="2"/>
        <v>363432.66664116713</v>
      </c>
      <c r="L11">
        <f t="shared" si="3"/>
        <v>23000</v>
      </c>
      <c r="M11">
        <f t="shared" si="4"/>
        <v>57192.034662892729</v>
      </c>
      <c r="N11">
        <f t="shared" si="5"/>
        <v>443624.70130405988</v>
      </c>
      <c r="T11">
        <f t="shared" si="0"/>
        <v>-23000</v>
      </c>
      <c r="V11">
        <f>-C11</f>
        <v>-23000</v>
      </c>
      <c r="X11">
        <f>-C11</f>
        <v>-23000</v>
      </c>
      <c r="Z11">
        <f t="shared" si="6"/>
        <v>-23000</v>
      </c>
    </row>
    <row r="12" spans="1:27" x14ac:dyDescent="0.2">
      <c r="A12">
        <v>10</v>
      </c>
      <c r="B12" t="s">
        <v>32</v>
      </c>
      <c r="C12">
        <v>23000</v>
      </c>
      <c r="D12">
        <v>0.36</v>
      </c>
      <c r="E12">
        <v>0.05</v>
      </c>
      <c r="F12">
        <v>0.24</v>
      </c>
      <c r="G12">
        <v>0.08</v>
      </c>
      <c r="H12">
        <v>0.4</v>
      </c>
      <c r="I12">
        <v>0</v>
      </c>
      <c r="J12">
        <f t="shared" si="1"/>
        <v>3.7199999999999997E-2</v>
      </c>
      <c r="K12">
        <f t="shared" si="2"/>
        <v>443624.70130405988</v>
      </c>
      <c r="L12">
        <f t="shared" si="3"/>
        <v>23000</v>
      </c>
      <c r="M12">
        <f t="shared" si="4"/>
        <v>17358.438888511027</v>
      </c>
      <c r="N12">
        <f t="shared" si="5"/>
        <v>483983.14019257092</v>
      </c>
      <c r="P12" s="4" t="s">
        <v>33</v>
      </c>
      <c r="Q12" s="5"/>
      <c r="T12">
        <f>N12-C12</f>
        <v>460983.14019257092</v>
      </c>
      <c r="V12">
        <f>N12-C12</f>
        <v>460983.14019257092</v>
      </c>
      <c r="X12">
        <f>N12-C12</f>
        <v>460983.14019257092</v>
      </c>
      <c r="Z12">
        <f>N12-C12</f>
        <v>460983.14019257092</v>
      </c>
    </row>
    <row r="13" spans="1:27" x14ac:dyDescent="0.2">
      <c r="P13" s="4" t="s">
        <v>34</v>
      </c>
      <c r="Q13" s="5">
        <f>U2</f>
        <v>0.10292708748818447</v>
      </c>
    </row>
    <row r="14" spans="1:27" x14ac:dyDescent="0.2">
      <c r="P14" s="4" t="s">
        <v>35</v>
      </c>
      <c r="Q14" s="5">
        <f>W2</f>
        <v>3.0047469657838191</v>
      </c>
    </row>
    <row r="15" spans="1:27" x14ac:dyDescent="0.2">
      <c r="P15" s="4" t="s">
        <v>36</v>
      </c>
      <c r="Q15" s="5">
        <f>Y2</f>
        <v>1.0932136665307342</v>
      </c>
    </row>
    <row r="16" spans="1:27" x14ac:dyDescent="0.2">
      <c r="P16" s="4" t="s">
        <v>37</v>
      </c>
      <c r="Q16" s="5">
        <f>AA2</f>
        <v>0.56160455851139868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s="1" t="s">
        <v>38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Model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Dwyer</cp:lastModifiedBy>
  <dcterms:created xsi:type="dcterms:W3CDTF">2026-04-28T17:43:51Z</dcterms:created>
  <dcterms:modified xsi:type="dcterms:W3CDTF">2026-04-28T17:48:01Z</dcterms:modified>
</cp:coreProperties>
</file>